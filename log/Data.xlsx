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E\Mathew\Codes\Partitions\"/>
    </mc:Choice>
  </mc:AlternateContent>
  <bookViews>
    <workbookView xWindow="0" yWindow="0" windowWidth="17895" windowHeight="7995"/>
  </bookViews>
  <sheets>
    <sheet name="Sheet1" sheetId="1" r:id="rId1"/>
  </sheets>
  <definedNames>
    <definedName name="_xlnm._FilterDatabase" localSheetId="0" hidden="1">Sheet1!$A$1:$H$25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9" i="1"/>
  <c r="E10" i="1"/>
  <c r="E12" i="1"/>
  <c r="E13" i="1"/>
  <c r="E15" i="1"/>
  <c r="E16" i="1"/>
  <c r="E18" i="1"/>
  <c r="E19" i="1"/>
  <c r="E21" i="1"/>
  <c r="E22" i="1"/>
  <c r="E24" i="1"/>
  <c r="E25" i="1"/>
  <c r="E4" i="1"/>
  <c r="E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G6" i="1"/>
  <c r="G7" i="1"/>
  <c r="G9" i="1"/>
  <c r="G10" i="1"/>
  <c r="G12" i="1"/>
  <c r="G13" i="1"/>
  <c r="G15" i="1"/>
  <c r="G16" i="1"/>
  <c r="G18" i="1"/>
  <c r="G19" i="1"/>
  <c r="G21" i="1"/>
  <c r="G22" i="1"/>
  <c r="G24" i="1"/>
  <c r="G25" i="1"/>
  <c r="G4" i="1"/>
  <c r="G3" i="1"/>
</calcChain>
</file>

<file path=xl/sharedStrings.xml><?xml version="1.0" encoding="utf-8"?>
<sst xmlns="http://schemas.openxmlformats.org/spreadsheetml/2006/main" count="72" uniqueCount="35">
  <si>
    <t>File Name</t>
  </si>
  <si>
    <t>Type</t>
  </si>
  <si>
    <t># of Points</t>
  </si>
  <si>
    <t>Sr. No.</t>
  </si>
  <si>
    <t>File Size (in GB)</t>
  </si>
  <si>
    <t># of Points (in M)</t>
  </si>
  <si>
    <t>FullCampusPart1.ply</t>
  </si>
  <si>
    <t>IIITB_InlierCloud_Part1.ply</t>
  </si>
  <si>
    <t>FullCampusPart2_A.ply</t>
  </si>
  <si>
    <t>FullCampusPart2_B.ply</t>
  </si>
  <si>
    <t>FullCampusPart3.ply</t>
  </si>
  <si>
    <t>FullCampusPart4.ply</t>
  </si>
  <si>
    <t>FullCampusPart5.ply</t>
  </si>
  <si>
    <t>FullCampusPart6.ply</t>
  </si>
  <si>
    <t>FullCampusPart7.ply</t>
  </si>
  <si>
    <t>IIITB_InlierCloud_Part2_A.ply</t>
  </si>
  <si>
    <t>IIITB_InlierCloud_Part2_B.ply</t>
  </si>
  <si>
    <t>IIITB_InlierCloud_Part3.ply</t>
  </si>
  <si>
    <t>IIITB_InlierCloud_Part4.ply</t>
  </si>
  <si>
    <t>IIITB_InlierCloud_Part5.ply</t>
  </si>
  <si>
    <t>IIITB_InlierCloud_Part6.ply</t>
  </si>
  <si>
    <t>IIITB_InlierCloud_Part7.ply</t>
  </si>
  <si>
    <t>IIITB_VoxelDSampledCloud_Part1.ply</t>
  </si>
  <si>
    <t>IIITB_VoxelDSampledCloud_Part2_A.ply</t>
  </si>
  <si>
    <t>IIITB_VoxelDSampledCloud_Part2_B.ply</t>
  </si>
  <si>
    <t>IIITB_VoxelDSampledCloud_Part3.ply</t>
  </si>
  <si>
    <t>IIITB_VoxelDSampledCloud_Part4.ply</t>
  </si>
  <si>
    <t>IIITB_VoxelDSampledCloud_Part5.ply</t>
  </si>
  <si>
    <t>IIITB_VoxelDSampledCloud_Part6.ply</t>
  </si>
  <si>
    <t>IIITB_VoxelDSampledCloud_Part7.ply</t>
  </si>
  <si>
    <t>Raw</t>
  </si>
  <si>
    <t>Inlier</t>
  </si>
  <si>
    <t>Dsampled</t>
  </si>
  <si>
    <t>% Reduction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</si>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</sst>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D11" sqref="D11"/>
    </sheetView>
  </sheetViews>
  <sheetFormatPr defaultRowHeight="15" x14ac:dyDescent="0.25"/>
  <cols>
    <col min="1" max="1" width="10" bestFit="1" customWidth="1"/>
    <col min="2" max="2" width="38.7109375" customWidth="1"/>
    <col min="3" max="3" width="12.7109375" customWidth="1"/>
    <col min="4" max="4" width="14.85546875" bestFit="1" customWidth="1"/>
    <col min="5" max="5" width="16.140625" customWidth="1"/>
    <col min="6" max="6" width="14" customWidth="1"/>
    <col min="7" max="7" width="16.85546875" customWidth="1"/>
    <col min="8" max="8" width="16.28515625" bestFit="1" customWidth="1"/>
  </cols>
  <sheetData>
    <row r="1" spans="1:8" x14ac:dyDescent="0.25">
      <c r="A1" s="2" t="s">
        <v>3</v>
      </c>
      <c r="B1" s="2" t="s">
        <v>0</v>
      </c>
      <c r="C1" s="2" t="s">
        <v>1</v>
      </c>
      <c r="D1" s="2" t="s">
        <v>4</v>
      </c>
      <c r="E1" s="3" t="s">
        <v>33</v>
      </c>
      <c r="F1" s="2" t="s">
        <v>2</v>
      </c>
      <c r="G1" s="2" t="s">
        <v>33</v>
      </c>
      <c r="H1" s="2" t="s">
        <v>5</v>
      </c>
    </row>
    <row r="2" spans="1:8" x14ac:dyDescent="0.25">
      <c r="A2" s="1">
        <v>1</v>
      </c>
      <c r="B2" s="6" t="s">
        <v>6</v>
      </c>
      <c r="C2" s="1" t="s">
        <v>30</v>
      </c>
      <c r="D2" s="1">
        <v>14.2</v>
      </c>
      <c r="E2" s="4" t="s">
        <v>34</v>
      </c>
      <c r="F2" s="1">
        <v>372641820</v>
      </c>
      <c r="G2" s="5" t="s">
        <v>34</v>
      </c>
      <c r="H2" s="1">
        <f>ROUND(F2/1000000, 2)</f>
        <v>372.64</v>
      </c>
    </row>
    <row r="3" spans="1:8" x14ac:dyDescent="0.25">
      <c r="A3" s="1">
        <v>2</v>
      </c>
      <c r="B3" s="6" t="s">
        <v>7</v>
      </c>
      <c r="C3" s="1" t="s">
        <v>31</v>
      </c>
      <c r="D3" s="1">
        <v>7.88</v>
      </c>
      <c r="E3" s="4">
        <f>(D2-D3)/D2</f>
        <v>0.44507042253521123</v>
      </c>
      <c r="F3" s="1">
        <v>352791048</v>
      </c>
      <c r="G3" s="5">
        <f>(F2-F3)/F2</f>
        <v>5.3270381730102109E-2</v>
      </c>
      <c r="H3" s="1">
        <f t="shared" ref="H3:H25" si="0">ROUND(F3/1000000, 2)</f>
        <v>352.79</v>
      </c>
    </row>
    <row r="4" spans="1:8" x14ac:dyDescent="0.25">
      <c r="A4" s="1">
        <v>3</v>
      </c>
      <c r="B4" s="6" t="s">
        <v>22</v>
      </c>
      <c r="C4" s="1" t="s">
        <v>32</v>
      </c>
      <c r="D4" s="1">
        <v>5.67</v>
      </c>
      <c r="E4" s="4">
        <f>(D2-D4)/D2</f>
        <v>0.60070422535211265</v>
      </c>
      <c r="F4" s="1">
        <v>253717183</v>
      </c>
      <c r="G4" s="5">
        <f>(F2-F4)/F2</f>
        <v>0.31913926622621153</v>
      </c>
      <c r="H4" s="1">
        <f t="shared" si="0"/>
        <v>253.72</v>
      </c>
    </row>
    <row r="5" spans="1:8" x14ac:dyDescent="0.25">
      <c r="A5" s="1">
        <v>4</v>
      </c>
      <c r="B5" s="6" t="s">
        <v>8</v>
      </c>
      <c r="C5" s="1" t="s">
        <v>30</v>
      </c>
      <c r="D5" s="1">
        <v>9.2100000000000009</v>
      </c>
      <c r="E5" s="4" t="s">
        <v>34</v>
      </c>
      <c r="F5" s="1">
        <v>242188897</v>
      </c>
      <c r="G5" s="5" t="s">
        <v>34</v>
      </c>
      <c r="H5" s="1">
        <f t="shared" si="0"/>
        <v>242.19</v>
      </c>
    </row>
    <row r="6" spans="1:8" x14ac:dyDescent="0.25">
      <c r="A6" s="1">
        <v>5</v>
      </c>
      <c r="B6" s="6" t="s">
        <v>15</v>
      </c>
      <c r="C6" s="1" t="s">
        <v>31</v>
      </c>
      <c r="D6" s="1">
        <v>5.09</v>
      </c>
      <c r="E6" s="4">
        <f t="shared" ref="E6" si="1">(D5-D6)/D5</f>
        <v>0.44733984799131388</v>
      </c>
      <c r="F6" s="1">
        <v>227764361</v>
      </c>
      <c r="G6" s="5">
        <f t="shared" ref="G6" si="2">(F5-F6)/F5</f>
        <v>5.9559030899752598E-2</v>
      </c>
      <c r="H6" s="1">
        <f t="shared" si="0"/>
        <v>227.76</v>
      </c>
    </row>
    <row r="7" spans="1:8" x14ac:dyDescent="0.25">
      <c r="A7" s="1">
        <v>6</v>
      </c>
      <c r="B7" s="6" t="s">
        <v>23</v>
      </c>
      <c r="C7" s="1" t="s">
        <v>32</v>
      </c>
      <c r="D7" s="1">
        <v>3.96</v>
      </c>
      <c r="E7" s="4">
        <f t="shared" ref="E7" si="3">(D5-D7)/D5</f>
        <v>0.57003257328990231</v>
      </c>
      <c r="F7" s="1">
        <v>177335147</v>
      </c>
      <c r="G7" s="5">
        <f t="shared" ref="G7" si="4">(F5-F7)/F5</f>
        <v>0.26778168117260964</v>
      </c>
      <c r="H7" s="1">
        <f t="shared" si="0"/>
        <v>177.34</v>
      </c>
    </row>
    <row r="8" spans="1:8" x14ac:dyDescent="0.25">
      <c r="A8" s="1">
        <v>7</v>
      </c>
      <c r="B8" s="6" t="s">
        <v>9</v>
      </c>
      <c r="C8" s="1" t="s">
        <v>30</v>
      </c>
      <c r="D8" s="1">
        <v>11.9</v>
      </c>
      <c r="E8" s="4" t="s">
        <v>34</v>
      </c>
      <c r="F8" s="1">
        <v>311269936</v>
      </c>
      <c r="G8" s="5" t="s">
        <v>34</v>
      </c>
      <c r="H8" s="1">
        <f t="shared" si="0"/>
        <v>311.27</v>
      </c>
    </row>
    <row r="9" spans="1:8" x14ac:dyDescent="0.25">
      <c r="A9" s="1">
        <v>8</v>
      </c>
      <c r="B9" s="6" t="s">
        <v>16</v>
      </c>
      <c r="C9" s="1" t="s">
        <v>31</v>
      </c>
      <c r="D9" s="1">
        <v>6.56</v>
      </c>
      <c r="E9" s="4">
        <f t="shared" ref="E9" si="5">(D8-D9)/D8</f>
        <v>0.4487394957983194</v>
      </c>
      <c r="F9" s="1">
        <v>293651921</v>
      </c>
      <c r="G9" s="5">
        <f t="shared" ref="G9" si="6">(F8-F9)/F8</f>
        <v>5.6600438919356476E-2</v>
      </c>
      <c r="H9" s="1">
        <f t="shared" si="0"/>
        <v>293.64999999999998</v>
      </c>
    </row>
    <row r="10" spans="1:8" x14ac:dyDescent="0.25">
      <c r="A10" s="1">
        <v>9</v>
      </c>
      <c r="B10" s="6" t="s">
        <v>24</v>
      </c>
      <c r="C10" s="1" t="s">
        <v>32</v>
      </c>
      <c r="D10" s="1">
        <v>4.8</v>
      </c>
      <c r="E10" s="4">
        <f t="shared" ref="E10" si="7">(D8-D10)/D8</f>
        <v>0.59663865546218486</v>
      </c>
      <c r="F10" s="1">
        <v>214911973</v>
      </c>
      <c r="G10" s="5">
        <f t="shared" ref="G10" si="8">(F8-F10)/F8</f>
        <v>0.30956398885885339</v>
      </c>
      <c r="H10" s="1">
        <f t="shared" si="0"/>
        <v>214.91</v>
      </c>
    </row>
    <row r="11" spans="1:8" x14ac:dyDescent="0.25">
      <c r="A11" s="1">
        <v>10</v>
      </c>
      <c r="B11" s="6" t="s">
        <v>10</v>
      </c>
      <c r="C11" s="1" t="s">
        <v>30</v>
      </c>
      <c r="D11" s="1">
        <v>16.399999999999999</v>
      </c>
      <c r="E11" s="4" t="s">
        <v>34</v>
      </c>
      <c r="F11" s="1">
        <v>435638819</v>
      </c>
      <c r="G11" s="5" t="s">
        <v>34</v>
      </c>
      <c r="H11" s="1">
        <f t="shared" si="0"/>
        <v>435.64</v>
      </c>
    </row>
    <row r="12" spans="1:8" x14ac:dyDescent="0.25">
      <c r="A12" s="1">
        <v>11</v>
      </c>
      <c r="B12" s="6" t="s">
        <v>17</v>
      </c>
      <c r="C12" s="1" t="s">
        <v>31</v>
      </c>
      <c r="D12" s="1">
        <v>9.24</v>
      </c>
      <c r="E12" s="4">
        <f t="shared" ref="E12" si="9">(D11-D12)/D11</f>
        <v>0.43658536585365848</v>
      </c>
      <c r="F12" s="1">
        <v>413667986</v>
      </c>
      <c r="G12" s="5">
        <f t="shared" ref="G12" si="10">(F11-F12)/F11</f>
        <v>5.0433597837845574E-2</v>
      </c>
      <c r="H12" s="1">
        <f t="shared" si="0"/>
        <v>413.67</v>
      </c>
    </row>
    <row r="13" spans="1:8" x14ac:dyDescent="0.25">
      <c r="A13" s="1">
        <v>12</v>
      </c>
      <c r="B13" s="6" t="s">
        <v>25</v>
      </c>
      <c r="C13" s="1" t="s">
        <v>32</v>
      </c>
      <c r="D13" s="1">
        <v>6.15</v>
      </c>
      <c r="E13" s="4">
        <f t="shared" ref="E13" si="11">(D11-D13)/D11</f>
        <v>0.625</v>
      </c>
      <c r="F13" s="1">
        <v>275307319</v>
      </c>
      <c r="G13" s="5">
        <f t="shared" ref="G13" si="12">(F11-F13)/F11</f>
        <v>0.36803767939697768</v>
      </c>
      <c r="H13" s="1">
        <f t="shared" si="0"/>
        <v>275.31</v>
      </c>
    </row>
    <row r="14" spans="1:8" x14ac:dyDescent="0.25">
      <c r="A14" s="1">
        <v>13</v>
      </c>
      <c r="B14" s="6" t="s">
        <v>11</v>
      </c>
      <c r="C14" s="1" t="s">
        <v>30</v>
      </c>
      <c r="D14" s="1">
        <v>16</v>
      </c>
      <c r="E14" s="4" t="s">
        <v>34</v>
      </c>
      <c r="F14" s="1">
        <v>420695358</v>
      </c>
      <c r="G14" s="5" t="s">
        <v>34</v>
      </c>
      <c r="H14" s="1">
        <f t="shared" si="0"/>
        <v>420.7</v>
      </c>
    </row>
    <row r="15" spans="1:8" x14ac:dyDescent="0.25">
      <c r="A15" s="1">
        <v>14</v>
      </c>
      <c r="B15" s="6" t="s">
        <v>18</v>
      </c>
      <c r="C15" s="1" t="s">
        <v>31</v>
      </c>
      <c r="D15" s="1">
        <v>8.86</v>
      </c>
      <c r="E15" s="4">
        <f t="shared" ref="E15" si="13">(D14-D15)/D14</f>
        <v>0.44625000000000004</v>
      </c>
      <c r="F15" s="1">
        <v>396771902</v>
      </c>
      <c r="G15" s="5">
        <f t="shared" ref="G15" si="14">(F14-F15)/F14</f>
        <v>5.6866460599263376E-2</v>
      </c>
      <c r="H15" s="1">
        <f t="shared" si="0"/>
        <v>396.77</v>
      </c>
    </row>
    <row r="16" spans="1:8" x14ac:dyDescent="0.25">
      <c r="A16" s="1">
        <v>15</v>
      </c>
      <c r="B16" s="6" t="s">
        <v>26</v>
      </c>
      <c r="C16" s="1" t="s">
        <v>32</v>
      </c>
      <c r="D16" s="1">
        <v>6.29</v>
      </c>
      <c r="E16" s="4">
        <f t="shared" ref="E16" si="15">(D14-D16)/D14</f>
        <v>0.60687500000000005</v>
      </c>
      <c r="F16" s="1">
        <v>281546568</v>
      </c>
      <c r="G16" s="5">
        <f t="shared" ref="G16" si="16">(F14-F16)/F14</f>
        <v>0.33075903347619062</v>
      </c>
      <c r="H16" s="1">
        <f t="shared" si="0"/>
        <v>281.55</v>
      </c>
    </row>
    <row r="17" spans="1:8" x14ac:dyDescent="0.25">
      <c r="A17" s="1">
        <v>16</v>
      </c>
      <c r="B17" s="6" t="s">
        <v>12</v>
      </c>
      <c r="C17" s="1" t="s">
        <v>30</v>
      </c>
      <c r="D17" s="1">
        <v>14.3</v>
      </c>
      <c r="E17" s="4" t="s">
        <v>34</v>
      </c>
      <c r="F17" s="1">
        <v>378121792</v>
      </c>
      <c r="G17" s="5" t="s">
        <v>34</v>
      </c>
      <c r="H17" s="1">
        <f t="shared" si="0"/>
        <v>378.12</v>
      </c>
    </row>
    <row r="18" spans="1:8" x14ac:dyDescent="0.25">
      <c r="A18" s="1">
        <v>17</v>
      </c>
      <c r="B18" s="6" t="s">
        <v>19</v>
      </c>
      <c r="C18" s="1" t="s">
        <v>31</v>
      </c>
      <c r="D18" s="1">
        <v>7.98</v>
      </c>
      <c r="E18" s="4">
        <f t="shared" ref="E18" si="17">(D17-D18)/D17</f>
        <v>0.44195804195804195</v>
      </c>
      <c r="F18" s="1">
        <v>357153151</v>
      </c>
      <c r="G18" s="5">
        <f t="shared" ref="G18" si="18">(F17-F18)/F17</f>
        <v>5.545472766615895E-2</v>
      </c>
      <c r="H18" s="1">
        <f t="shared" si="0"/>
        <v>357.15</v>
      </c>
    </row>
    <row r="19" spans="1:8" x14ac:dyDescent="0.25">
      <c r="A19" s="1">
        <v>18</v>
      </c>
      <c r="B19" s="6" t="s">
        <v>27</v>
      </c>
      <c r="C19" s="1" t="s">
        <v>32</v>
      </c>
      <c r="D19" s="1">
        <v>5.34</v>
      </c>
      <c r="E19" s="4">
        <f t="shared" ref="E19" si="19">(D17-D19)/D17</f>
        <v>0.62657342657342663</v>
      </c>
      <c r="F19" s="1">
        <v>239179923</v>
      </c>
      <c r="G19" s="5">
        <f t="shared" ref="G19" si="20">(F17-F19)/F17</f>
        <v>0.36745268836555178</v>
      </c>
      <c r="H19" s="1">
        <f t="shared" si="0"/>
        <v>239.18</v>
      </c>
    </row>
    <row r="20" spans="1:8" x14ac:dyDescent="0.25">
      <c r="A20" s="1">
        <v>19</v>
      </c>
      <c r="B20" s="6" t="s">
        <v>13</v>
      </c>
      <c r="C20" s="1" t="s">
        <v>30</v>
      </c>
      <c r="D20" s="1">
        <v>15.5</v>
      </c>
      <c r="E20" s="4" t="s">
        <v>34</v>
      </c>
      <c r="F20" s="1">
        <v>405695668</v>
      </c>
      <c r="G20" s="5" t="s">
        <v>34</v>
      </c>
      <c r="H20" s="1">
        <f t="shared" si="0"/>
        <v>405.7</v>
      </c>
    </row>
    <row r="21" spans="1:8" x14ac:dyDescent="0.25">
      <c r="A21" s="1">
        <v>20</v>
      </c>
      <c r="B21" s="6" t="s">
        <v>20</v>
      </c>
      <c r="C21" s="1" t="s">
        <v>31</v>
      </c>
      <c r="D21" s="1">
        <v>8.59</v>
      </c>
      <c r="E21" s="4">
        <f t="shared" ref="E21" si="21">(D20-D21)/D20</f>
        <v>0.44580645161290322</v>
      </c>
      <c r="F21" s="1">
        <v>384625036</v>
      </c>
      <c r="G21" s="5">
        <f t="shared" ref="G21" si="22">(F20-F21)/F20</f>
        <v>5.1937039662942615E-2</v>
      </c>
      <c r="H21" s="1">
        <f t="shared" si="0"/>
        <v>384.63</v>
      </c>
    </row>
    <row r="22" spans="1:8" x14ac:dyDescent="0.25">
      <c r="A22" s="1">
        <v>21</v>
      </c>
      <c r="B22" s="6" t="s">
        <v>28</v>
      </c>
      <c r="C22" s="1" t="s">
        <v>32</v>
      </c>
      <c r="D22" s="1">
        <v>6.17</v>
      </c>
      <c r="E22" s="4">
        <f t="shared" ref="E22" si="23">(D20-D22)/D20</f>
        <v>0.60193548387096774</v>
      </c>
      <c r="F22" s="1">
        <v>276148316</v>
      </c>
      <c r="G22" s="5">
        <f t="shared" ref="G22" si="24">(F20-F22)/F20</f>
        <v>0.31932150678029919</v>
      </c>
      <c r="H22" s="1">
        <f t="shared" si="0"/>
        <v>276.14999999999998</v>
      </c>
    </row>
    <row r="23" spans="1:8" x14ac:dyDescent="0.25">
      <c r="A23" s="1">
        <v>22</v>
      </c>
      <c r="B23" s="6" t="s">
        <v>14</v>
      </c>
      <c r="C23" s="1" t="s">
        <v>30</v>
      </c>
      <c r="D23" s="1">
        <v>13.2</v>
      </c>
      <c r="E23" s="4" t="s">
        <v>34</v>
      </c>
      <c r="F23" s="1">
        <v>338287992</v>
      </c>
      <c r="G23" s="5" t="s">
        <v>34</v>
      </c>
      <c r="H23" s="1">
        <f t="shared" si="0"/>
        <v>338.29</v>
      </c>
    </row>
    <row r="24" spans="1:8" x14ac:dyDescent="0.25">
      <c r="A24" s="1">
        <v>23</v>
      </c>
      <c r="B24" s="6" t="s">
        <v>21</v>
      </c>
      <c r="C24" s="1" t="s">
        <v>31</v>
      </c>
      <c r="D24" s="1">
        <v>7.25</v>
      </c>
      <c r="E24" s="4">
        <f t="shared" ref="E24" si="25">(D23-D24)/D23</f>
        <v>0.45075757575757575</v>
      </c>
      <c r="F24" s="1">
        <v>324395333</v>
      </c>
      <c r="G24" s="5">
        <f t="shared" ref="G24" si="26">(F23-F24)/F23</f>
        <v>4.1067549923557441E-2</v>
      </c>
      <c r="H24" s="1">
        <f t="shared" si="0"/>
        <v>324.39999999999998</v>
      </c>
    </row>
    <row r="25" spans="1:8" x14ac:dyDescent="0.25">
      <c r="A25" s="1">
        <v>24</v>
      </c>
      <c r="B25" s="6" t="s">
        <v>29</v>
      </c>
      <c r="C25" s="1" t="s">
        <v>32</v>
      </c>
      <c r="D25" s="1">
        <v>4.83</v>
      </c>
      <c r="E25" s="4">
        <f t="shared" ref="E25" si="27">(D23-D25)/D23</f>
        <v>0.63409090909090904</v>
      </c>
      <c r="F25" s="1">
        <v>216130224</v>
      </c>
      <c r="G25" s="5">
        <f t="shared" ref="G25" si="28">(F23-F25)/F23</f>
        <v>0.36110583552726283</v>
      </c>
      <c r="H25" s="1">
        <f t="shared" si="0"/>
        <v>216.13</v>
      </c>
    </row>
  </sheetData>
  <autoFilter ref="A1:H2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 &amp; Team</dc:creator>
  <cp:lastModifiedBy>Amruth &amp; Team</cp:lastModifiedBy>
  <dcterms:created xsi:type="dcterms:W3CDTF">2025-09-29T14:08:29Z</dcterms:created>
  <dcterms:modified xsi:type="dcterms:W3CDTF">2025-09-29T15:16:31Z</dcterms:modified>
</cp:coreProperties>
</file>